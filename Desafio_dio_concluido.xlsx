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FIIs" sheetId="1" state="visible" r:id="rId1"/>
    <sheet xmlns:r="http://schemas.openxmlformats.org/officeDocument/2006/relationships" name="Apoio" sheetId="2" state="visible" r:id="rId2"/>
  </sheets>
  <definedNames>
    <definedName name="Salario">'Simulador FIIs'!$B$4</definedName>
    <definedName name="AporteSugestao">'Simulador FIIs'!$B$5</definedName>
    <definedName name="AporteMensal">'Simulador FIIs'!$B$6</definedName>
    <definedName name="TaxaMensal">'Simulador FIIs'!$B$7</definedName>
    <definedName name="DYMensal">'Simulador FIIs'!$B$8</definedName>
    <definedName name="PerfilInvestidor">'Simulador FIIs'!$B$9</definedName>
    <definedName name="TabelaApoioPerfis">Apoio!$A$3:$E$20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595959"/>
        <bgColor rgb="00595959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65" fontId="4" fillId="5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6" borderId="0" pivotButton="0" quotePrefix="0" xfId="0"/>
    <xf numFmtId="0" fontId="3" fillId="0" borderId="0" applyAlignment="1" pivotButton="0" quotePrefix="0" xfId="0">
      <alignment horizontal="center"/>
    </xf>
    <xf numFmtId="165" fontId="3" fillId="6" borderId="0" pivotButton="0" quotePrefix="0" xfId="0"/>
    <xf numFmtId="164" fontId="3" fillId="6" borderId="0" pivotButton="0" quotePrefix="0" xfId="0"/>
    <xf numFmtId="10" fontId="4" fillId="5" borderId="0" pivotButton="0" quotePrefix="0" xfId="0"/>
    <xf numFmtId="0" fontId="4" fillId="5" borderId="0" pivotButton="0" quotePrefix="0" xfId="0"/>
    <xf numFmtId="0" fontId="2" fillId="3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Divisão do Aporte por Tipo de FII (%)</a:t>
            </a:r>
          </a:p>
        </rich>
      </tx>
    </title>
    <plotArea>
      <pieChart>
        <varyColors val="1"/>
        <ser>
          <idx val="0"/>
          <order val="0"/>
          <tx>
            <strRef>
              <f>'Simulador FIIs'!B12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 FIIs'!$A$13:$A$18</f>
            </numRef>
          </cat>
          <val>
            <numRef>
              <f>'Simulador FIIs'!$B$13:$B$18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8" customWidth="1" min="4" max="4"/>
    <col width="4" customWidth="1" min="5" max="5"/>
    <col width="12" customWidth="1" min="6" max="6"/>
    <col width="10" customWidth="1" min="7" max="7"/>
    <col width="20" customWidth="1" min="8" max="8"/>
    <col width="26" customWidth="1" min="9" max="9"/>
    <col width="20" customWidth="1" min="10" max="10"/>
    <col width="24" customWidth="1" min="11" max="11"/>
    <col width="18" customWidth="1" min="12" max="12"/>
  </cols>
  <sheetData>
    <row r="1" ht="40" customHeight="1">
      <c r="A1" s="1" t="inlineStr">
        <is>
          <t>FERRAMENTA DE SIMULAÇÃO E CONTROLE DE INVESTIMENTOS EM FIIs</t>
        </is>
      </c>
    </row>
    <row r="3">
      <c r="A3" s="2" t="inlineStr">
        <is>
          <t>1. PREMISSAS E PERGUNTAS DE NEGÓCIO</t>
        </is>
      </c>
      <c r="F3" s="2" t="inlineStr">
        <is>
          <t>3. PROJEÇÃO DE CENÁRIOS E PATRIMÔNIO ACUMULADO (VF)</t>
        </is>
      </c>
    </row>
    <row r="4">
      <c r="A4" s="3" t="inlineStr">
        <is>
          <t>Salário Mensal (R$)</t>
        </is>
      </c>
      <c r="B4" s="4" t="n">
        <v>5000</v>
      </c>
      <c r="F4" s="5" t="inlineStr">
        <is>
          <t>Anos (2º)</t>
        </is>
      </c>
      <c r="G4" s="5" t="inlineStr">
        <is>
          <t>Meses</t>
        </is>
      </c>
      <c r="H4" s="5" t="inlineStr">
        <is>
          <t>Aporte Acumulado</t>
        </is>
      </c>
      <c r="I4" s="5" t="inlineStr">
        <is>
          <t>Patrimônio Acumulado (VF - 4º)</t>
        </is>
      </c>
      <c r="J4" s="5" t="inlineStr">
        <is>
          <t>Rendimento Total</t>
        </is>
      </c>
      <c r="K4" s="5" t="inlineStr">
        <is>
          <t>Dividendos Mensais (5º)</t>
        </is>
      </c>
      <c r="L4" s="5" t="inlineStr">
        <is>
          <t>Retorno % / Aporte</t>
        </is>
      </c>
    </row>
    <row r="5">
      <c r="A5" s="6" t="inlineStr">
        <is>
          <t>Sugestão de Aporte (30% Salário)</t>
        </is>
      </c>
      <c r="B5" s="7">
        <f>B4*0.30</f>
        <v/>
      </c>
      <c r="F5" s="8" t="n">
        <v>2</v>
      </c>
      <c r="G5" s="8">
        <f>F5*12</f>
        <v/>
      </c>
      <c r="H5" s="9">
        <f>G5*AporteMensal</f>
        <v/>
      </c>
      <c r="I5" s="7">
        <f>-FV(TaxaMensal, G5, AporteMensal)</f>
        <v/>
      </c>
      <c r="J5" s="9">
        <f>I5-H5</f>
        <v/>
      </c>
      <c r="K5" s="7">
        <f>I5*DYMensal</f>
        <v/>
      </c>
      <c r="L5" s="10">
        <f>(I5-H5)/H5</f>
        <v/>
      </c>
    </row>
    <row r="6">
      <c r="A6" s="3" t="inlineStr">
        <is>
          <t>Quanto investir por mês? (Aporte Mensal)</t>
        </is>
      </c>
      <c r="B6" s="4">
        <f>B5</f>
        <v/>
      </c>
      <c r="F6" s="8" t="n">
        <v>5</v>
      </c>
      <c r="G6" s="8">
        <f>F6*12</f>
        <v/>
      </c>
      <c r="H6" s="9">
        <f>G6*AporteMensal</f>
        <v/>
      </c>
      <c r="I6" s="7">
        <f>-FV(TaxaMensal, G6, AporteMensal)</f>
        <v/>
      </c>
      <c r="J6" s="9">
        <f>I6-H6</f>
        <v/>
      </c>
      <c r="K6" s="7">
        <f>I6*DYMensal</f>
        <v/>
      </c>
      <c r="L6" s="10">
        <f>(I6-H6)/H6</f>
        <v/>
      </c>
    </row>
    <row r="7">
      <c r="A7" s="3" t="inlineStr">
        <is>
          <t>Qual a taxa de rendimento mensal? (%)</t>
        </is>
      </c>
      <c r="B7" s="11" t="n">
        <v>0.008</v>
      </c>
      <c r="F7" s="8" t="n">
        <v>10</v>
      </c>
      <c r="G7" s="8">
        <f>F7*12</f>
        <v/>
      </c>
      <c r="H7" s="9">
        <f>G7*AporteMensal</f>
        <v/>
      </c>
      <c r="I7" s="7">
        <f>-FV(TaxaMensal, G7, AporteMensal)</f>
        <v/>
      </c>
      <c r="J7" s="9">
        <f>I7-H7</f>
        <v/>
      </c>
      <c r="K7" s="7">
        <f>I7*DYMensal</f>
        <v/>
      </c>
      <c r="L7" s="10">
        <f>(I7-H7)/H7</f>
        <v/>
      </c>
    </row>
    <row r="8">
      <c r="A8" s="3" t="inlineStr">
        <is>
          <t>Dividend Yield Mensal (%)</t>
        </is>
      </c>
      <c r="B8" s="11" t="n">
        <v>0.0075</v>
      </c>
      <c r="F8" s="8" t="n">
        <v>15</v>
      </c>
      <c r="G8" s="8">
        <f>F8*12</f>
        <v/>
      </c>
      <c r="H8" s="9">
        <f>G8*AporteMensal</f>
        <v/>
      </c>
      <c r="I8" s="7">
        <f>-FV(TaxaMensal, G8, AporteMensal)</f>
        <v/>
      </c>
      <c r="J8" s="9">
        <f>I8-H8</f>
        <v/>
      </c>
      <c r="K8" s="7">
        <f>I8*DYMensal</f>
        <v/>
      </c>
      <c r="L8" s="10">
        <f>(I8-H8)/H8</f>
        <v/>
      </c>
    </row>
    <row r="9">
      <c r="A9" s="3" t="inlineStr">
        <is>
          <t>Perfil do Investidor</t>
        </is>
      </c>
      <c r="B9" s="12" t="inlineStr">
        <is>
          <t>Moderado</t>
        </is>
      </c>
      <c r="F9" s="8" t="n">
        <v>20</v>
      </c>
      <c r="G9" s="8">
        <f>F9*12</f>
        <v/>
      </c>
      <c r="H9" s="9">
        <f>G9*AporteMensal</f>
        <v/>
      </c>
      <c r="I9" s="7">
        <f>-FV(TaxaMensal, G9, AporteMensal)</f>
        <v/>
      </c>
      <c r="J9" s="9">
        <f>I9-H9</f>
        <v/>
      </c>
      <c r="K9" s="7">
        <f>I9*DYMensal</f>
        <v/>
      </c>
      <c r="L9" s="10">
        <f>(I9-H9)/H9</f>
        <v/>
      </c>
    </row>
    <row r="10">
      <c r="F10" s="8" t="n">
        <v>25</v>
      </c>
      <c r="G10" s="8">
        <f>F10*12</f>
        <v/>
      </c>
      <c r="H10" s="9">
        <f>G10*AporteMensal</f>
        <v/>
      </c>
      <c r="I10" s="7">
        <f>-FV(TaxaMensal, G10, AporteMensal)</f>
        <v/>
      </c>
      <c r="J10" s="9">
        <f>I10-H10</f>
        <v/>
      </c>
      <c r="K10" s="7">
        <f>I10*DYMensal</f>
        <v/>
      </c>
      <c r="L10" s="10">
        <f>(I10-H10)/H10</f>
        <v/>
      </c>
    </row>
    <row r="11">
      <c r="A11" s="2" t="inlineStr">
        <is>
          <t>2. DIVISÃO DO APORTE POR PERFIL (6 TIPOS DE FII)</t>
        </is>
      </c>
      <c r="F11" s="8" t="n">
        <v>30</v>
      </c>
      <c r="G11" s="8">
        <f>F11*12</f>
        <v/>
      </c>
      <c r="H11" s="9">
        <f>G11*AporteMensal</f>
        <v/>
      </c>
      <c r="I11" s="7">
        <f>-FV(TaxaMensal, G11, AporteMensal)</f>
        <v/>
      </c>
      <c r="J11" s="9">
        <f>I11-H11</f>
        <v/>
      </c>
      <c r="K11" s="7">
        <f>I11*DYMensal</f>
        <v/>
      </c>
      <c r="L11" s="10">
        <f>(I11-H11)/H11</f>
        <v/>
      </c>
    </row>
    <row r="12">
      <c r="A12" s="13" t="inlineStr">
        <is>
          <t>Tipo de Fundo</t>
        </is>
      </c>
      <c r="B12" s="13" t="inlineStr">
        <is>
          <t>% Alocação</t>
        </is>
      </c>
      <c r="C12" s="13" t="inlineStr">
        <is>
          <t>Aporte Mensal (R$)</t>
        </is>
      </c>
      <c r="D12" s="13" t="inlineStr">
        <is>
          <t>Chave Composta</t>
        </is>
      </c>
    </row>
    <row r="13">
      <c r="A13" s="3" t="inlineStr">
        <is>
          <t>FII Tijolo - Logística</t>
        </is>
      </c>
      <c r="B13" s="10">
        <f>VLOOKUP(D13, Apoio!$C$3:$E$20, 2, FALSE)</f>
        <v/>
      </c>
      <c r="C13" s="7">
        <f>B13*AporteMensal</f>
        <v/>
      </c>
      <c r="D13" s="3">
        <f>PerfilInvestidor&amp;A13</f>
        <v/>
      </c>
    </row>
    <row r="14">
      <c r="A14" s="3" t="inlineStr">
        <is>
          <t>FII Tijolo - Renda Urbana</t>
        </is>
      </c>
      <c r="B14" s="10">
        <f>VLOOKUP(D14, Apoio!$C$3:$E$20, 2, FALSE)</f>
        <v/>
      </c>
      <c r="C14" s="7">
        <f>B14*AporteMensal</f>
        <v/>
      </c>
      <c r="D14" s="3">
        <f>PerfilInvestidor&amp;A14</f>
        <v/>
      </c>
    </row>
    <row r="15">
      <c r="A15" s="3" t="inlineStr">
        <is>
          <t>FII Papel - CRI High Grade</t>
        </is>
      </c>
      <c r="B15" s="10">
        <f>VLOOKUP(D15, Apoio!$C$3:$E$20, 2, FALSE)</f>
        <v/>
      </c>
      <c r="C15" s="7">
        <f>B15*AporteMensal</f>
        <v/>
      </c>
      <c r="D15" s="3">
        <f>PerfilInvestidor&amp;A15</f>
        <v/>
      </c>
    </row>
    <row r="16">
      <c r="A16" s="3" t="inlineStr">
        <is>
          <t>FII Papel - Recebíveis</t>
        </is>
      </c>
      <c r="B16" s="10">
        <f>VLOOKUP(D16, Apoio!$C$3:$E$20, 2, FALSE)</f>
        <v/>
      </c>
      <c r="C16" s="7">
        <f>B16*AporteMensal</f>
        <v/>
      </c>
      <c r="D16" s="3">
        <f>PerfilInvestidor&amp;A16</f>
        <v/>
      </c>
    </row>
    <row r="17">
      <c r="A17" s="3" t="inlineStr">
        <is>
          <t>Fiagro - Crédito Agro</t>
        </is>
      </c>
      <c r="B17" s="10">
        <f>VLOOKUP(D17, Apoio!$C$3:$E$20, 2, FALSE)</f>
        <v/>
      </c>
      <c r="C17" s="7">
        <f>B17*AporteMensal</f>
        <v/>
      </c>
      <c r="D17" s="3">
        <f>PerfilInvestidor&amp;A17</f>
        <v/>
      </c>
    </row>
    <row r="18">
      <c r="A18" s="3" t="inlineStr">
        <is>
          <t>FoFs - Fundos de Fundos</t>
        </is>
      </c>
      <c r="B18" s="10">
        <f>VLOOKUP(D18, Apoio!$C$3:$E$20, 2, FALSE)</f>
        <v/>
      </c>
      <c r="C18" s="7">
        <f>B18*AporteMensal</f>
        <v/>
      </c>
      <c r="D18" s="3">
        <f>PerfilInvestidor&amp;A18</f>
        <v/>
      </c>
    </row>
    <row r="19">
      <c r="A19" s="6" t="inlineStr">
        <is>
          <t>TOTAL ALOCADO</t>
        </is>
      </c>
      <c r="B19" s="14">
        <f>SUM(B13:B18)</f>
        <v/>
      </c>
      <c r="C19" s="15">
        <f>SUM(C13:C18)</f>
        <v/>
      </c>
    </row>
  </sheetData>
  <mergeCells count="4">
    <mergeCell ref="A11:D11"/>
    <mergeCell ref="A3:D3"/>
    <mergeCell ref="F3:L3"/>
    <mergeCell ref="A1:N1"/>
  </mergeCells>
  <dataValidations count="1">
    <dataValidation sqref="B9" showDropDown="0" showInputMessage="0" showErrorMessage="0" allowBlank="0" type="list">
      <formula1>Apoio!$G$2:$G$4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14" customWidth="1" min="4" max="4"/>
    <col width="20" customWidth="1" min="5" max="5"/>
    <col width="16" customWidth="1" min="7" max="7"/>
  </cols>
  <sheetData>
    <row r="1">
      <c r="A1" s="2" t="inlineStr">
        <is>
          <t>TABELA DE APOIO - PERFIS E SEIS TIPOS DE FII</t>
        </is>
      </c>
      <c r="G1" s="6" t="inlineStr">
        <is>
          <t>Lista Perfis</t>
        </is>
      </c>
    </row>
    <row r="2">
      <c r="A2" s="13" t="inlineStr">
        <is>
          <t>Perfil</t>
        </is>
      </c>
      <c r="B2" s="13" t="inlineStr">
        <is>
          <t>Tipo de Fundo</t>
        </is>
      </c>
      <c r="C2" s="13" t="inlineStr">
        <is>
          <t>Chave Composta</t>
        </is>
      </c>
      <c r="D2" s="13" t="inlineStr">
        <is>
          <t>% Alocação</t>
        </is>
      </c>
      <c r="E2" s="13" t="inlineStr">
        <is>
          <t>Aporte por Perfil</t>
        </is>
      </c>
      <c r="G2" s="3" t="inlineStr">
        <is>
          <t>Conservador</t>
        </is>
      </c>
    </row>
    <row r="3">
      <c r="A3" s="3" t="inlineStr">
        <is>
          <t>Conservador</t>
        </is>
      </c>
      <c r="B3" s="3" t="inlineStr">
        <is>
          <t>FII Tijolo - Logística</t>
        </is>
      </c>
      <c r="C3" s="3">
        <f>A3&amp;B3</f>
        <v/>
      </c>
      <c r="D3" s="16" t="n">
        <v>0.3</v>
      </c>
      <c r="E3" s="17">
        <f>D3*AporteMensal</f>
        <v/>
      </c>
      <c r="G3" s="3" t="inlineStr">
        <is>
          <t>Moderado</t>
        </is>
      </c>
    </row>
    <row r="4">
      <c r="A4" s="3" t="inlineStr">
        <is>
          <t>Conservador</t>
        </is>
      </c>
      <c r="B4" s="3" t="inlineStr">
        <is>
          <t>FII Tijolo - Renda Urbana</t>
        </is>
      </c>
      <c r="C4" s="3">
        <f>A4&amp;B4</f>
        <v/>
      </c>
      <c r="D4" s="16" t="n">
        <v>0.25</v>
      </c>
      <c r="E4" s="17">
        <f>D4*AporteMensal</f>
        <v/>
      </c>
      <c r="G4" s="3" t="inlineStr">
        <is>
          <t>Arrojado</t>
        </is>
      </c>
    </row>
    <row r="5">
      <c r="A5" s="3" t="inlineStr">
        <is>
          <t>Conservador</t>
        </is>
      </c>
      <c r="B5" s="3" t="inlineStr">
        <is>
          <t>FII Papel - CRI High Grade</t>
        </is>
      </c>
      <c r="C5" s="3">
        <f>A5&amp;B5</f>
        <v/>
      </c>
      <c r="D5" s="16" t="n">
        <v>0.25</v>
      </c>
      <c r="E5" s="17">
        <f>D5*AporteMensal</f>
        <v/>
      </c>
    </row>
    <row r="6">
      <c r="A6" s="3" t="inlineStr">
        <is>
          <t>Conservador</t>
        </is>
      </c>
      <c r="B6" s="3" t="inlineStr">
        <is>
          <t>FII Papel - Recebíveis</t>
        </is>
      </c>
      <c r="C6" s="3">
        <f>A6&amp;B6</f>
        <v/>
      </c>
      <c r="D6" s="16" t="n">
        <v>0.1</v>
      </c>
      <c r="E6" s="17">
        <f>D6*AporteMensal</f>
        <v/>
      </c>
    </row>
    <row r="7">
      <c r="A7" s="3" t="inlineStr">
        <is>
          <t>Conservador</t>
        </is>
      </c>
      <c r="B7" s="3" t="inlineStr">
        <is>
          <t>Fiagro - Crédito Agro</t>
        </is>
      </c>
      <c r="C7" s="3">
        <f>A7&amp;B7</f>
        <v/>
      </c>
      <c r="D7" s="16" t="n">
        <v>0.05</v>
      </c>
      <c r="E7" s="17">
        <f>D7*AporteMensal</f>
        <v/>
      </c>
    </row>
    <row r="8">
      <c r="A8" s="3" t="inlineStr">
        <is>
          <t>Conservador</t>
        </is>
      </c>
      <c r="B8" s="3" t="inlineStr">
        <is>
          <t>FoFs - Fundos de Fundos</t>
        </is>
      </c>
      <c r="C8" s="3">
        <f>A8&amp;B8</f>
        <v/>
      </c>
      <c r="D8" s="16" t="n">
        <v>0.05</v>
      </c>
      <c r="E8" s="17">
        <f>D8*AporteMensal</f>
        <v/>
      </c>
    </row>
    <row r="9">
      <c r="A9" s="3" t="inlineStr">
        <is>
          <t>Moderado</t>
        </is>
      </c>
      <c r="B9" s="3" t="inlineStr">
        <is>
          <t>FII Tijolo - Logística</t>
        </is>
      </c>
      <c r="C9" s="3">
        <f>A9&amp;B9</f>
        <v/>
      </c>
      <c r="D9" s="16" t="n">
        <v>0.25</v>
      </c>
      <c r="E9" s="17">
        <f>D9*AporteMensal</f>
        <v/>
      </c>
    </row>
    <row r="10">
      <c r="A10" s="3" t="inlineStr">
        <is>
          <t>Moderado</t>
        </is>
      </c>
      <c r="B10" s="3" t="inlineStr">
        <is>
          <t>FII Tijolo - Renda Urbana</t>
        </is>
      </c>
      <c r="C10" s="3">
        <f>A10&amp;B10</f>
        <v/>
      </c>
      <c r="D10" s="16" t="n">
        <v>0.2</v>
      </c>
      <c r="E10" s="17">
        <f>D10*AporteMensal</f>
        <v/>
      </c>
    </row>
    <row r="11">
      <c r="A11" s="3" t="inlineStr">
        <is>
          <t>Moderado</t>
        </is>
      </c>
      <c r="B11" s="3" t="inlineStr">
        <is>
          <t>FII Papel - CRI High Grade</t>
        </is>
      </c>
      <c r="C11" s="3">
        <f>A11&amp;B11</f>
        <v/>
      </c>
      <c r="D11" s="16" t="n">
        <v>0.2</v>
      </c>
      <c r="E11" s="17">
        <f>D11*AporteMensal</f>
        <v/>
      </c>
    </row>
    <row r="12">
      <c r="A12" s="3" t="inlineStr">
        <is>
          <t>Moderado</t>
        </is>
      </c>
      <c r="B12" s="3" t="inlineStr">
        <is>
          <t>FII Papel - Recebíveis</t>
        </is>
      </c>
      <c r="C12" s="3">
        <f>A12&amp;B12</f>
        <v/>
      </c>
      <c r="D12" s="16" t="n">
        <v>0.15</v>
      </c>
      <c r="E12" s="17">
        <f>D12*AporteMensal</f>
        <v/>
      </c>
    </row>
    <row r="13">
      <c r="A13" s="3" t="inlineStr">
        <is>
          <t>Moderado</t>
        </is>
      </c>
      <c r="B13" s="3" t="inlineStr">
        <is>
          <t>Fiagro - Crédito Agro</t>
        </is>
      </c>
      <c r="C13" s="3">
        <f>A13&amp;B13</f>
        <v/>
      </c>
      <c r="D13" s="16" t="n">
        <v>0.1</v>
      </c>
      <c r="E13" s="17">
        <f>D13*AporteMensal</f>
        <v/>
      </c>
    </row>
    <row r="14">
      <c r="A14" s="3" t="inlineStr">
        <is>
          <t>Moderado</t>
        </is>
      </c>
      <c r="B14" s="3" t="inlineStr">
        <is>
          <t>FoFs - Fundos de Fundos</t>
        </is>
      </c>
      <c r="C14" s="3">
        <f>A14&amp;B14</f>
        <v/>
      </c>
      <c r="D14" s="16" t="n">
        <v>0.1</v>
      </c>
      <c r="E14" s="17">
        <f>D14*AporteMensal</f>
        <v/>
      </c>
    </row>
    <row r="15">
      <c r="A15" s="3" t="inlineStr">
        <is>
          <t>Arrojado</t>
        </is>
      </c>
      <c r="B15" s="3" t="inlineStr">
        <is>
          <t>FII Tijolo - Logística</t>
        </is>
      </c>
      <c r="C15" s="3">
        <f>A15&amp;B15</f>
        <v/>
      </c>
      <c r="D15" s="16" t="n">
        <v>0.15</v>
      </c>
      <c r="E15" s="17">
        <f>D15*AporteMensal</f>
        <v/>
      </c>
    </row>
    <row r="16">
      <c r="A16" s="3" t="inlineStr">
        <is>
          <t>Arrojado</t>
        </is>
      </c>
      <c r="B16" s="3" t="inlineStr">
        <is>
          <t>FII Tijolo - Renda Urbana</t>
        </is>
      </c>
      <c r="C16" s="3">
        <f>A16&amp;B16</f>
        <v/>
      </c>
      <c r="D16" s="16" t="n">
        <v>0.15</v>
      </c>
      <c r="E16" s="17">
        <f>D16*AporteMensal</f>
        <v/>
      </c>
    </row>
    <row r="17">
      <c r="A17" s="3" t="inlineStr">
        <is>
          <t>Arrojado</t>
        </is>
      </c>
      <c r="B17" s="3" t="inlineStr">
        <is>
          <t>FII Papel - CRI High Grade</t>
        </is>
      </c>
      <c r="C17" s="3">
        <f>A17&amp;B17</f>
        <v/>
      </c>
      <c r="D17" s="16" t="n">
        <v>0.15</v>
      </c>
      <c r="E17" s="17">
        <f>D17*AporteMensal</f>
        <v/>
      </c>
    </row>
    <row r="18">
      <c r="A18" s="3" t="inlineStr">
        <is>
          <t>Arrojado</t>
        </is>
      </c>
      <c r="B18" s="3" t="inlineStr">
        <is>
          <t>FII Papel - Recebíveis</t>
        </is>
      </c>
      <c r="C18" s="3">
        <f>A18&amp;B18</f>
        <v/>
      </c>
      <c r="D18" s="16" t="n">
        <v>0.2</v>
      </c>
      <c r="E18" s="17">
        <f>D18*AporteMensal</f>
        <v/>
      </c>
    </row>
    <row r="19">
      <c r="A19" s="3" t="inlineStr">
        <is>
          <t>Arrojado</t>
        </is>
      </c>
      <c r="B19" s="3" t="inlineStr">
        <is>
          <t>Fiagro - Crédito Agro</t>
        </is>
      </c>
      <c r="C19" s="3">
        <f>A19&amp;B19</f>
        <v/>
      </c>
      <c r="D19" s="16" t="n">
        <v>0.2</v>
      </c>
      <c r="E19" s="17">
        <f>D19*AporteMensal</f>
        <v/>
      </c>
    </row>
    <row r="20">
      <c r="A20" s="3" t="inlineStr">
        <is>
          <t>Arrojado</t>
        </is>
      </c>
      <c r="B20" s="3" t="inlineStr">
        <is>
          <t>FoFs - Fundos de Fundos</t>
        </is>
      </c>
      <c r="C20" s="3">
        <f>A20&amp;B20</f>
        <v/>
      </c>
      <c r="D20" s="16" t="n">
        <v>0.15</v>
      </c>
      <c r="E20" s="17">
        <f>D20*AporteMensal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2026-10-02T19:33:12Z</dcterms:created>
  <dcterms:modified xmlns:dcterms="http://purl.org/dc/terms/" xmlns:xsi="http://www.w3.org/2001/XMLSchema-instance" xsi:type="dcterms:W3CDTF">2026-10-02T19:33:12Z</dcterms:modified>
</cp:coreProperties>
</file>